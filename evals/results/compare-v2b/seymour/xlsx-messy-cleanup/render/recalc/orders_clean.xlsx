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<sst xmlns="http://schemas.openxmlformats.org/spreadsheetml/2006/main" count="171" uniqueCount="77">
  <si>
    <t xml:space="preserve">order_id</t>
  </si>
  <si>
    <t xml:space="preserve">date</t>
  </si>
  <si>
    <t xml:space="preserve">region</t>
  </si>
  <si>
    <t xml:space="preserve">product</t>
  </si>
  <si>
    <t xml:space="preserve">qty</t>
  </si>
  <si>
    <t xml:space="preserve">amount</t>
  </si>
  <si>
    <t xml:space="preserve">1017</t>
  </si>
  <si>
    <t xml:space="preserve">East</t>
  </si>
  <si>
    <t xml:space="preserve">Gizmo</t>
  </si>
  <si>
    <t xml:space="preserve">1038</t>
  </si>
  <si>
    <t xml:space="preserve">North</t>
  </si>
  <si>
    <t xml:space="preserve">Widget</t>
  </si>
  <si>
    <t xml:space="preserve">1011</t>
  </si>
  <si>
    <t xml:space="preserve">1006</t>
  </si>
  <si>
    <t xml:space="preserve">Gadget</t>
  </si>
  <si>
    <t xml:space="preserve">1035</t>
  </si>
  <si>
    <t xml:space="preserve">1026</t>
  </si>
  <si>
    <t xml:space="preserve">South</t>
  </si>
  <si>
    <t xml:space="preserve">1004</t>
  </si>
  <si>
    <t xml:space="preserve">1015</t>
  </si>
  <si>
    <t xml:space="preserve">1040</t>
  </si>
  <si>
    <t xml:space="preserve">1027</t>
  </si>
  <si>
    <t xml:space="preserve">1023</t>
  </si>
  <si>
    <t xml:space="preserve">1034</t>
  </si>
  <si>
    <t xml:space="preserve">1037</t>
  </si>
  <si>
    <t xml:space="preserve">West</t>
  </si>
  <si>
    <t xml:space="preserve">1039</t>
  </si>
  <si>
    <t xml:space="preserve">1024</t>
  </si>
  <si>
    <t xml:space="preserve">1002</t>
  </si>
  <si>
    <t xml:space="preserve">1043</t>
  </si>
  <si>
    <t xml:space="preserve">1047</t>
  </si>
  <si>
    <t xml:space="preserve">1021</t>
  </si>
  <si>
    <t xml:space="preserve">1029</t>
  </si>
  <si>
    <t xml:space="preserve">1041</t>
  </si>
  <si>
    <t xml:space="preserve">1025</t>
  </si>
  <si>
    <t xml:space="preserve">1042</t>
  </si>
  <si>
    <t xml:space="preserve">1045</t>
  </si>
  <si>
    <t xml:space="preserve">1001</t>
  </si>
  <si>
    <t xml:space="preserve">1028</t>
  </si>
  <si>
    <t xml:space="preserve">1012</t>
  </si>
  <si>
    <t xml:space="preserve">1030</t>
  </si>
  <si>
    <t xml:space="preserve">1005</t>
  </si>
  <si>
    <t xml:space="preserve">1014</t>
  </si>
  <si>
    <t xml:space="preserve">1009</t>
  </si>
  <si>
    <t xml:space="preserve">1013</t>
  </si>
  <si>
    <t xml:space="preserve">1008</t>
  </si>
  <si>
    <t xml:space="preserve">1032</t>
  </si>
  <si>
    <t xml:space="preserve">1007</t>
  </si>
  <si>
    <t xml:space="preserve">1000</t>
  </si>
  <si>
    <t xml:space="preserve">1033</t>
  </si>
  <si>
    <t xml:space="preserve">1046</t>
  </si>
  <si>
    <t xml:space="preserve">1010</t>
  </si>
  <si>
    <t xml:space="preserve">1016</t>
  </si>
  <si>
    <t xml:space="preserve">1022</t>
  </si>
  <si>
    <t xml:space="preserve">1020</t>
  </si>
  <si>
    <t xml:space="preserve">1044</t>
  </si>
  <si>
    <t xml:space="preserve">1018</t>
  </si>
  <si>
    <t xml:space="preserve">1036</t>
  </si>
  <si>
    <t xml:space="preserve">1019</t>
  </si>
  <si>
    <t xml:space="preserve">1003</t>
  </si>
  <si>
    <t xml:space="preserve">1031</t>
  </si>
  <si>
    <t xml:space="preserve">Region</t>
  </si>
  <si>
    <t xml:space="preserve">2026-01</t>
  </si>
  <si>
    <t xml:space="preserve">2026-02</t>
  </si>
  <si>
    <t xml:space="preserve">2026-03</t>
  </si>
  <si>
    <t xml:space="preserve">Total</t>
  </si>
  <si>
    <t xml:space="preserve">Cleaning notes for orders_clean.xlsx:</t>
  </si>
  <si>
    <t xml:space="preserve">1. Dropped 1 junk 'TOTAL' row (non-numeric order_id).</t>
  </si>
  <si>
    <t xml:space="preserve">2. Dropped 2 rows with blank amounts (order_id 2001, 2002).</t>
  </si>
  <si>
    <t xml:space="preserve">3. Dropped 1 row with blank date (order_id 2002, already removed above).</t>
  </si>
  <si>
    <t xml:space="preserve">4. Removed 2 duplicate orders (order_id 1005 and 1017 — kept first occurrence).</t>
  </si>
  <si>
    <t xml:space="preserve">5. Parsed dates in three formats (YYYY-MM-DD, MM/DD/YYYY, DD Mon YYYY) into a single datetime.</t>
  </si>
  <si>
    <t xml:space="preserve">6. Normalised amounts: removed currency symbols (€, $) and thousands separators, converted to numeric.</t>
  </si>
  <si>
    <t xml:space="preserve">7. Normalised region names: stripped whitespace, applied title-case (e.g. 'east ' → 'East').</t>
  </si>
  <si>
    <t xml:space="preserve">Total rows removed: 5</t>
  </si>
  <si>
    <t xml:space="preserve">Clean rows in Data sheet: 48</t>
  </si>
  <si>
    <t xml:space="preserve">Original rows (excluding header): 54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</si>
</sst>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Amount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Summary!$E$2:$E$5</c:f>
              <c:numCache>
                <c:formatCode>General</c:formatCode>
                <c:ptCount val="4"/>
                <c:pt idx="0">
                  <c:v>8052.5</c:v>
                </c:pt>
                <c:pt idx="1">
                  <c:v>12170</c:v>
                </c:pt>
                <c:pt idx="2">
                  <c:v>12047.5</c:v>
                </c:pt>
                <c:pt idx="3">
                  <c:v>8770</c:v>
                </c:pt>
              </c:numCache>
            </c:numRef>
          </c:val>
        </c:ser>
        <c:gapWidth val="150"/>
        <c:overlap val="0"/>
        <c:axId val="26992661"/>
        <c:axId val="71567266"/>
      </c:barChart>
      <c:catAx>
        <c:axId val="26992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567266"/>
        <c:crosses val="autoZero"/>
        <c:auto val="1"/>
        <c:lblAlgn val="ctr"/>
        <c:lblOffset val="100"/>
        <c:noMultiLvlLbl val="0"/>
      </c:catAx>
      <c:valAx>
        <c:axId val="71567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9926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0</xdr:rowOff>
    </xdr:from>
    <xdr:to>
      <xdr:col>12</xdr:col>
      <xdr:colOff>507600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244620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1" t="n">
        <v>46056</v>
      </c>
      <c r="C2" s="0" t="s">
        <v>7</v>
      </c>
      <c r="D2" s="0" t="s">
        <v>8</v>
      </c>
      <c r="E2" s="0" t="n">
        <v>3</v>
      </c>
      <c r="F2" s="2" t="n">
        <v>285</v>
      </c>
    </row>
    <row r="3" customFormat="false" ht="15" hidden="false" customHeight="false" outlineLevel="0" collapsed="false">
      <c r="A3" s="0" t="s">
        <v>9</v>
      </c>
      <c r="B3" s="1" t="n">
        <v>46027</v>
      </c>
      <c r="C3" s="0" t="s">
        <v>10</v>
      </c>
      <c r="D3" s="0" t="s">
        <v>11</v>
      </c>
      <c r="E3" s="0" t="n">
        <v>3</v>
      </c>
      <c r="F3" s="2" t="n">
        <v>37.5</v>
      </c>
    </row>
    <row r="4" customFormat="false" ht="15" hidden="false" customHeight="false" outlineLevel="0" collapsed="false">
      <c r="A4" s="0" t="s">
        <v>12</v>
      </c>
      <c r="B4" s="1" t="n">
        <v>46097</v>
      </c>
      <c r="C4" s="0" t="s">
        <v>10</v>
      </c>
      <c r="D4" s="0" t="s">
        <v>8</v>
      </c>
      <c r="E4" s="0" t="n">
        <v>7</v>
      </c>
      <c r="F4" s="2" t="n">
        <v>665</v>
      </c>
    </row>
    <row r="5" customFormat="false" ht="15" hidden="false" customHeight="false" outlineLevel="0" collapsed="false">
      <c r="A5" s="0" t="s">
        <v>13</v>
      </c>
      <c r="B5" s="1" t="n">
        <v>46078</v>
      </c>
      <c r="C5" s="0" t="s">
        <v>7</v>
      </c>
      <c r="D5" s="0" t="s">
        <v>14</v>
      </c>
      <c r="E5" s="0" t="n">
        <v>2</v>
      </c>
      <c r="F5" s="2" t="n">
        <v>80</v>
      </c>
    </row>
    <row r="6" customFormat="false" ht="15" hidden="false" customHeight="false" outlineLevel="0" collapsed="false">
      <c r="A6" s="0" t="s">
        <v>15</v>
      </c>
      <c r="B6" s="1" t="n">
        <v>46071</v>
      </c>
      <c r="C6" s="0" t="s">
        <v>7</v>
      </c>
      <c r="D6" s="0" t="s">
        <v>14</v>
      </c>
      <c r="E6" s="0" t="n">
        <v>26</v>
      </c>
      <c r="F6" s="2" t="n">
        <v>1040</v>
      </c>
    </row>
    <row r="7" customFormat="false" ht="15" hidden="false" customHeight="false" outlineLevel="0" collapsed="false">
      <c r="A7" s="0" t="s">
        <v>16</v>
      </c>
      <c r="B7" s="1" t="n">
        <v>46100</v>
      </c>
      <c r="C7" s="0" t="s">
        <v>17</v>
      </c>
      <c r="D7" s="0" t="s">
        <v>14</v>
      </c>
      <c r="E7" s="0" t="n">
        <v>23</v>
      </c>
      <c r="F7" s="2" t="n">
        <v>920</v>
      </c>
    </row>
    <row r="8" customFormat="false" ht="15" hidden="false" customHeight="false" outlineLevel="0" collapsed="false">
      <c r="A8" s="0" t="s">
        <v>18</v>
      </c>
      <c r="B8" s="1" t="n">
        <v>46107</v>
      </c>
      <c r="C8" s="0" t="s">
        <v>10</v>
      </c>
      <c r="D8" s="0" t="s">
        <v>8</v>
      </c>
      <c r="E8" s="0" t="n">
        <v>18</v>
      </c>
      <c r="F8" s="2" t="n">
        <v>1710</v>
      </c>
    </row>
    <row r="9" customFormat="false" ht="15" hidden="false" customHeight="false" outlineLevel="0" collapsed="false">
      <c r="A9" s="0" t="s">
        <v>19</v>
      </c>
      <c r="B9" s="1" t="n">
        <v>46079</v>
      </c>
      <c r="C9" s="0" t="s">
        <v>7</v>
      </c>
      <c r="D9" s="0" t="s">
        <v>11</v>
      </c>
      <c r="E9" s="0" t="n">
        <v>6</v>
      </c>
      <c r="F9" s="2" t="n">
        <v>75</v>
      </c>
    </row>
    <row r="10" customFormat="false" ht="15" hidden="false" customHeight="false" outlineLevel="0" collapsed="false">
      <c r="A10" s="0" t="s">
        <v>20</v>
      </c>
      <c r="B10" s="1" t="n">
        <v>46093</v>
      </c>
      <c r="C10" s="0" t="s">
        <v>7</v>
      </c>
      <c r="D10" s="0" t="s">
        <v>11</v>
      </c>
      <c r="E10" s="0" t="n">
        <v>3</v>
      </c>
      <c r="F10" s="2" t="n">
        <v>37.5</v>
      </c>
    </row>
    <row r="11" customFormat="false" ht="15" hidden="false" customHeight="false" outlineLevel="0" collapsed="false">
      <c r="A11" s="0" t="s">
        <v>21</v>
      </c>
      <c r="B11" s="1" t="n">
        <v>46086</v>
      </c>
      <c r="C11" s="0" t="s">
        <v>10</v>
      </c>
      <c r="D11" s="0" t="s">
        <v>14</v>
      </c>
      <c r="E11" s="0" t="n">
        <v>3</v>
      </c>
      <c r="F11" s="2" t="n">
        <v>120</v>
      </c>
    </row>
    <row r="12" customFormat="false" ht="15" hidden="false" customHeight="false" outlineLevel="0" collapsed="false">
      <c r="A12" s="0" t="s">
        <v>22</v>
      </c>
      <c r="B12" s="1" t="n">
        <v>46039</v>
      </c>
      <c r="C12" s="0" t="s">
        <v>7</v>
      </c>
      <c r="D12" s="0" t="s">
        <v>8</v>
      </c>
      <c r="E12" s="0" t="n">
        <v>17</v>
      </c>
      <c r="F12" s="2" t="n">
        <v>1615</v>
      </c>
    </row>
    <row r="13" customFormat="false" ht="15" hidden="false" customHeight="false" outlineLevel="0" collapsed="false">
      <c r="A13" s="0" t="s">
        <v>23</v>
      </c>
      <c r="B13" s="1" t="n">
        <v>46034</v>
      </c>
      <c r="C13" s="0" t="s">
        <v>7</v>
      </c>
      <c r="D13" s="0" t="s">
        <v>14</v>
      </c>
      <c r="E13" s="0" t="n">
        <v>28</v>
      </c>
      <c r="F13" s="2" t="n">
        <v>1120</v>
      </c>
    </row>
    <row r="14" customFormat="false" ht="15" hidden="false" customHeight="false" outlineLevel="0" collapsed="false">
      <c r="A14" s="0" t="s">
        <v>24</v>
      </c>
      <c r="B14" s="1" t="n">
        <v>46071</v>
      </c>
      <c r="C14" s="0" t="s">
        <v>25</v>
      </c>
      <c r="D14" s="0" t="s">
        <v>8</v>
      </c>
      <c r="E14" s="0" t="n">
        <v>21</v>
      </c>
      <c r="F14" s="2" t="n">
        <v>1995</v>
      </c>
    </row>
    <row r="15" customFormat="false" ht="15" hidden="false" customHeight="false" outlineLevel="0" collapsed="false">
      <c r="A15" s="0" t="s">
        <v>26</v>
      </c>
      <c r="B15" s="1" t="n">
        <v>46100</v>
      </c>
      <c r="C15" s="0" t="s">
        <v>7</v>
      </c>
      <c r="D15" s="0" t="s">
        <v>8</v>
      </c>
      <c r="E15" s="0" t="n">
        <v>5</v>
      </c>
      <c r="F15" s="2" t="n">
        <v>475</v>
      </c>
    </row>
    <row r="16" customFormat="false" ht="15" hidden="false" customHeight="false" outlineLevel="0" collapsed="false">
      <c r="A16" s="0" t="s">
        <v>27</v>
      </c>
      <c r="B16" s="1" t="n">
        <v>46082</v>
      </c>
      <c r="C16" s="0" t="s">
        <v>17</v>
      </c>
      <c r="D16" s="0" t="s">
        <v>14</v>
      </c>
      <c r="E16" s="0" t="n">
        <v>11</v>
      </c>
      <c r="F16" s="2" t="n">
        <v>440</v>
      </c>
    </row>
    <row r="17" customFormat="false" ht="15" hidden="false" customHeight="false" outlineLevel="0" collapsed="false">
      <c r="A17" s="0" t="s">
        <v>28</v>
      </c>
      <c r="B17" s="1" t="n">
        <v>46106</v>
      </c>
      <c r="C17" s="0" t="s">
        <v>25</v>
      </c>
      <c r="D17" s="0" t="s">
        <v>14</v>
      </c>
      <c r="E17" s="0" t="n">
        <v>5</v>
      </c>
      <c r="F17" s="2" t="n">
        <v>200</v>
      </c>
    </row>
    <row r="18" customFormat="false" ht="15" hidden="false" customHeight="false" outlineLevel="0" collapsed="false">
      <c r="A18" s="0" t="s">
        <v>29</v>
      </c>
      <c r="B18" s="1" t="n">
        <v>46109</v>
      </c>
      <c r="C18" s="0" t="s">
        <v>10</v>
      </c>
      <c r="D18" s="0" t="s">
        <v>8</v>
      </c>
      <c r="E18" s="0" t="n">
        <v>21</v>
      </c>
      <c r="F18" s="2" t="n">
        <v>1995</v>
      </c>
    </row>
    <row r="19" customFormat="false" ht="15" hidden="false" customHeight="false" outlineLevel="0" collapsed="false">
      <c r="A19" s="0" t="s">
        <v>30</v>
      </c>
      <c r="B19" s="1" t="n">
        <v>46060</v>
      </c>
      <c r="C19" s="0" t="s">
        <v>17</v>
      </c>
      <c r="D19" s="0" t="s">
        <v>8</v>
      </c>
      <c r="E19" s="0" t="n">
        <v>24</v>
      </c>
      <c r="F19" s="2" t="n">
        <v>2280</v>
      </c>
    </row>
    <row r="20" customFormat="false" ht="15" hidden="false" customHeight="false" outlineLevel="0" collapsed="false">
      <c r="A20" s="0" t="s">
        <v>31</v>
      </c>
      <c r="B20" s="1" t="n">
        <v>46045</v>
      </c>
      <c r="C20" s="0" t="s">
        <v>7</v>
      </c>
      <c r="D20" s="0" t="s">
        <v>8</v>
      </c>
      <c r="E20" s="0" t="n">
        <v>10</v>
      </c>
      <c r="F20" s="2" t="n">
        <v>950</v>
      </c>
    </row>
    <row r="21" customFormat="false" ht="15" hidden="false" customHeight="false" outlineLevel="0" collapsed="false">
      <c r="A21" s="0" t="s">
        <v>32</v>
      </c>
      <c r="B21" s="1" t="n">
        <v>46063</v>
      </c>
      <c r="C21" s="0" t="s">
        <v>7</v>
      </c>
      <c r="D21" s="0" t="s">
        <v>11</v>
      </c>
      <c r="E21" s="0" t="n">
        <v>24</v>
      </c>
      <c r="F21" s="2" t="n">
        <v>300</v>
      </c>
    </row>
    <row r="22" customFormat="false" ht="15" hidden="false" customHeight="false" outlineLevel="0" collapsed="false">
      <c r="A22" s="0" t="s">
        <v>33</v>
      </c>
      <c r="B22" s="1" t="n">
        <v>46108</v>
      </c>
      <c r="C22" s="0" t="s">
        <v>7</v>
      </c>
      <c r="D22" s="0" t="s">
        <v>11</v>
      </c>
      <c r="E22" s="0" t="n">
        <v>15</v>
      </c>
      <c r="F22" s="2" t="n">
        <v>187.5</v>
      </c>
    </row>
    <row r="23" customFormat="false" ht="15" hidden="false" customHeight="false" outlineLevel="0" collapsed="false">
      <c r="A23" s="0" t="s">
        <v>34</v>
      </c>
      <c r="B23" s="1" t="n">
        <v>46083</v>
      </c>
      <c r="C23" s="0" t="s">
        <v>17</v>
      </c>
      <c r="D23" s="0" t="s">
        <v>14</v>
      </c>
      <c r="E23" s="0" t="n">
        <v>27</v>
      </c>
      <c r="F23" s="2" t="n">
        <v>1080</v>
      </c>
    </row>
    <row r="24" customFormat="false" ht="15" hidden="false" customHeight="false" outlineLevel="0" collapsed="false">
      <c r="A24" s="0" t="s">
        <v>35</v>
      </c>
      <c r="B24" s="1" t="n">
        <v>46104</v>
      </c>
      <c r="C24" s="0" t="s">
        <v>10</v>
      </c>
      <c r="D24" s="0" t="s">
        <v>14</v>
      </c>
      <c r="E24" s="0" t="n">
        <v>24</v>
      </c>
      <c r="F24" s="2" t="n">
        <v>960</v>
      </c>
    </row>
    <row r="25" customFormat="false" ht="15" hidden="false" customHeight="false" outlineLevel="0" collapsed="false">
      <c r="A25" s="0" t="s">
        <v>36</v>
      </c>
      <c r="B25" s="1" t="n">
        <v>46070</v>
      </c>
      <c r="C25" s="0" t="s">
        <v>25</v>
      </c>
      <c r="D25" s="0" t="s">
        <v>14</v>
      </c>
      <c r="E25" s="0" t="n">
        <v>5</v>
      </c>
      <c r="F25" s="2" t="n">
        <v>200</v>
      </c>
    </row>
    <row r="26" customFormat="false" ht="15" hidden="false" customHeight="false" outlineLevel="0" collapsed="false">
      <c r="A26" s="0" t="s">
        <v>37</v>
      </c>
      <c r="B26" s="1" t="n">
        <v>46064</v>
      </c>
      <c r="C26" s="0" t="s">
        <v>17</v>
      </c>
      <c r="D26" s="0" t="s">
        <v>8</v>
      </c>
      <c r="E26" s="0" t="n">
        <v>27</v>
      </c>
      <c r="F26" s="2" t="n">
        <v>2565</v>
      </c>
    </row>
    <row r="27" customFormat="false" ht="15" hidden="false" customHeight="false" outlineLevel="0" collapsed="false">
      <c r="A27" s="0" t="s">
        <v>38</v>
      </c>
      <c r="B27" s="1" t="n">
        <v>46061</v>
      </c>
      <c r="C27" s="0" t="s">
        <v>25</v>
      </c>
      <c r="D27" s="0" t="s">
        <v>11</v>
      </c>
      <c r="E27" s="0" t="n">
        <v>4</v>
      </c>
      <c r="F27" s="2" t="n">
        <v>50</v>
      </c>
    </row>
    <row r="28" customFormat="false" ht="15" hidden="false" customHeight="false" outlineLevel="0" collapsed="false">
      <c r="A28" s="0" t="s">
        <v>39</v>
      </c>
      <c r="B28" s="1" t="n">
        <v>46103</v>
      </c>
      <c r="C28" s="0" t="s">
        <v>17</v>
      </c>
      <c r="D28" s="0" t="s">
        <v>8</v>
      </c>
      <c r="E28" s="0" t="n">
        <v>22</v>
      </c>
      <c r="F28" s="2" t="n">
        <v>2090</v>
      </c>
    </row>
    <row r="29" customFormat="false" ht="15" hidden="false" customHeight="false" outlineLevel="0" collapsed="false">
      <c r="A29" s="0" t="s">
        <v>40</v>
      </c>
      <c r="B29" s="1" t="n">
        <v>46040</v>
      </c>
      <c r="C29" s="0" t="s">
        <v>7</v>
      </c>
      <c r="D29" s="0" t="s">
        <v>11</v>
      </c>
      <c r="E29" s="0" t="n">
        <v>21</v>
      </c>
      <c r="F29" s="2" t="n">
        <v>262.5</v>
      </c>
    </row>
    <row r="30" customFormat="false" ht="15" hidden="false" customHeight="false" outlineLevel="0" collapsed="false">
      <c r="A30" s="0" t="s">
        <v>41</v>
      </c>
      <c r="B30" s="1" t="n">
        <v>46105</v>
      </c>
      <c r="C30" s="0" t="s">
        <v>25</v>
      </c>
      <c r="D30" s="0" t="s">
        <v>8</v>
      </c>
      <c r="E30" s="0" t="n">
        <v>20</v>
      </c>
      <c r="F30" s="2" t="n">
        <v>1900</v>
      </c>
    </row>
    <row r="31" customFormat="false" ht="15" hidden="false" customHeight="false" outlineLevel="0" collapsed="false">
      <c r="A31" s="0" t="s">
        <v>42</v>
      </c>
      <c r="B31" s="1" t="n">
        <v>46078</v>
      </c>
      <c r="C31" s="0" t="s">
        <v>10</v>
      </c>
      <c r="D31" s="0" t="s">
        <v>8</v>
      </c>
      <c r="E31" s="0" t="n">
        <v>30</v>
      </c>
      <c r="F31" s="2" t="n">
        <v>2850</v>
      </c>
    </row>
    <row r="32" customFormat="false" ht="15" hidden="false" customHeight="false" outlineLevel="0" collapsed="false">
      <c r="A32" s="0" t="s">
        <v>43</v>
      </c>
      <c r="B32" s="1" t="n">
        <v>46087</v>
      </c>
      <c r="C32" s="0" t="s">
        <v>10</v>
      </c>
      <c r="D32" s="0" t="s">
        <v>8</v>
      </c>
      <c r="E32" s="0" t="n">
        <v>8</v>
      </c>
      <c r="F32" s="2" t="n">
        <v>760</v>
      </c>
    </row>
    <row r="33" customFormat="false" ht="15" hidden="false" customHeight="false" outlineLevel="0" collapsed="false">
      <c r="A33" s="0" t="s">
        <v>44</v>
      </c>
      <c r="B33" s="1" t="n">
        <v>46049</v>
      </c>
      <c r="C33" s="0" t="s">
        <v>25</v>
      </c>
      <c r="D33" s="0" t="s">
        <v>8</v>
      </c>
      <c r="E33" s="0" t="n">
        <v>22</v>
      </c>
      <c r="F33" s="2" t="n">
        <v>2090</v>
      </c>
    </row>
    <row r="34" customFormat="false" ht="15" hidden="false" customHeight="false" outlineLevel="0" collapsed="false">
      <c r="A34" s="0" t="s">
        <v>45</v>
      </c>
      <c r="B34" s="1" t="n">
        <v>46102</v>
      </c>
      <c r="C34" s="0" t="s">
        <v>25</v>
      </c>
      <c r="D34" s="0" t="s">
        <v>11</v>
      </c>
      <c r="E34" s="0" t="n">
        <v>9</v>
      </c>
      <c r="F34" s="2" t="n">
        <v>112.5</v>
      </c>
    </row>
    <row r="35" customFormat="false" ht="15" hidden="false" customHeight="false" outlineLevel="0" collapsed="false">
      <c r="A35" s="0" t="s">
        <v>46</v>
      </c>
      <c r="B35" s="1" t="n">
        <v>46059</v>
      </c>
      <c r="C35" s="0" t="s">
        <v>17</v>
      </c>
      <c r="D35" s="0" t="s">
        <v>14</v>
      </c>
      <c r="E35" s="0" t="n">
        <v>29</v>
      </c>
      <c r="F35" s="2" t="n">
        <v>1160</v>
      </c>
    </row>
    <row r="36" customFormat="false" ht="15" hidden="false" customHeight="false" outlineLevel="0" collapsed="false">
      <c r="A36" s="0" t="s">
        <v>47</v>
      </c>
      <c r="B36" s="1" t="n">
        <v>46050</v>
      </c>
      <c r="C36" s="0" t="s">
        <v>17</v>
      </c>
      <c r="D36" s="0" t="s">
        <v>14</v>
      </c>
      <c r="E36" s="0" t="n">
        <v>30</v>
      </c>
      <c r="F36" s="2" t="n">
        <v>1200</v>
      </c>
    </row>
    <row r="37" customFormat="false" ht="15" hidden="false" customHeight="false" outlineLevel="0" collapsed="false">
      <c r="A37" s="0" t="s">
        <v>48</v>
      </c>
      <c r="B37" s="1" t="n">
        <v>46044</v>
      </c>
      <c r="C37" s="0" t="s">
        <v>7</v>
      </c>
      <c r="D37" s="0" t="s">
        <v>11</v>
      </c>
      <c r="E37" s="0" t="n">
        <v>15</v>
      </c>
      <c r="F37" s="2" t="n">
        <v>187.5</v>
      </c>
    </row>
    <row r="38" customFormat="false" ht="15" hidden="false" customHeight="false" outlineLevel="0" collapsed="false">
      <c r="A38" s="0" t="s">
        <v>49</v>
      </c>
      <c r="B38" s="1" t="n">
        <v>46032</v>
      </c>
      <c r="C38" s="0" t="s">
        <v>10</v>
      </c>
      <c r="D38" s="0" t="s">
        <v>14</v>
      </c>
      <c r="E38" s="0" t="n">
        <v>29</v>
      </c>
      <c r="F38" s="2" t="n">
        <v>1160</v>
      </c>
    </row>
    <row r="39" customFormat="false" ht="15" hidden="false" customHeight="false" outlineLevel="0" collapsed="false">
      <c r="A39" s="0" t="s">
        <v>50</v>
      </c>
      <c r="B39" s="1" t="n">
        <v>46107</v>
      </c>
      <c r="C39" s="0" t="s">
        <v>25</v>
      </c>
      <c r="D39" s="0" t="s">
        <v>11</v>
      </c>
      <c r="E39" s="0" t="n">
        <v>18</v>
      </c>
      <c r="F39" s="2" t="n">
        <v>225</v>
      </c>
    </row>
    <row r="40" customFormat="false" ht="15" hidden="false" customHeight="false" outlineLevel="0" collapsed="false">
      <c r="A40" s="0" t="s">
        <v>51</v>
      </c>
      <c r="B40" s="1" t="n">
        <v>46093</v>
      </c>
      <c r="C40" s="0" t="s">
        <v>17</v>
      </c>
      <c r="D40" s="0" t="s">
        <v>11</v>
      </c>
      <c r="E40" s="0" t="n">
        <v>25</v>
      </c>
      <c r="F40" s="2" t="n">
        <v>312.5</v>
      </c>
    </row>
    <row r="41" customFormat="false" ht="15" hidden="false" customHeight="false" outlineLevel="0" collapsed="false">
      <c r="A41" s="0" t="s">
        <v>52</v>
      </c>
      <c r="B41" s="1" t="n">
        <v>46097</v>
      </c>
      <c r="C41" s="0" t="s">
        <v>7</v>
      </c>
      <c r="D41" s="0" t="s">
        <v>14</v>
      </c>
      <c r="E41" s="0" t="n">
        <v>8</v>
      </c>
      <c r="F41" s="2" t="n">
        <v>320</v>
      </c>
    </row>
    <row r="42" customFormat="false" ht="15" hidden="false" customHeight="false" outlineLevel="0" collapsed="false">
      <c r="A42" s="0" t="s">
        <v>53</v>
      </c>
      <c r="B42" s="1" t="n">
        <v>46092</v>
      </c>
      <c r="C42" s="0" t="s">
        <v>10</v>
      </c>
      <c r="D42" s="0" t="s">
        <v>11</v>
      </c>
      <c r="E42" s="0" t="n">
        <v>24</v>
      </c>
      <c r="F42" s="2" t="n">
        <v>300</v>
      </c>
    </row>
    <row r="43" customFormat="false" ht="15" hidden="false" customHeight="false" outlineLevel="0" collapsed="false">
      <c r="A43" s="0" t="s">
        <v>54</v>
      </c>
      <c r="B43" s="1" t="n">
        <v>46096</v>
      </c>
      <c r="C43" s="0" t="s">
        <v>25</v>
      </c>
      <c r="D43" s="0" t="s">
        <v>8</v>
      </c>
      <c r="E43" s="0" t="n">
        <v>18</v>
      </c>
      <c r="F43" s="2" t="n">
        <v>1710</v>
      </c>
    </row>
    <row r="44" customFormat="false" ht="15" hidden="false" customHeight="false" outlineLevel="0" collapsed="false">
      <c r="A44" s="0" t="s">
        <v>55</v>
      </c>
      <c r="B44" s="1" t="n">
        <v>46072</v>
      </c>
      <c r="C44" s="0" t="s">
        <v>7</v>
      </c>
      <c r="D44" s="0" t="s">
        <v>14</v>
      </c>
      <c r="E44" s="0" t="n">
        <v>13</v>
      </c>
      <c r="F44" s="2" t="n">
        <v>520</v>
      </c>
    </row>
    <row r="45" customFormat="false" ht="15" hidden="false" customHeight="false" outlineLevel="0" collapsed="false">
      <c r="A45" s="0" t="s">
        <v>56</v>
      </c>
      <c r="B45" s="1" t="n">
        <v>46087</v>
      </c>
      <c r="C45" s="0" t="s">
        <v>7</v>
      </c>
      <c r="D45" s="0" t="s">
        <v>11</v>
      </c>
      <c r="E45" s="0" t="n">
        <v>25</v>
      </c>
      <c r="F45" s="2" t="n">
        <v>312.5</v>
      </c>
    </row>
    <row r="46" customFormat="false" ht="15" hidden="false" customHeight="false" outlineLevel="0" collapsed="false">
      <c r="A46" s="0" t="s">
        <v>57</v>
      </c>
      <c r="B46" s="1" t="n">
        <v>46043</v>
      </c>
      <c r="C46" s="0" t="s">
        <v>10</v>
      </c>
      <c r="D46" s="0" t="s">
        <v>8</v>
      </c>
      <c r="E46" s="0" t="n">
        <v>15</v>
      </c>
      <c r="F46" s="2" t="n">
        <v>1425</v>
      </c>
    </row>
    <row r="47" customFormat="false" ht="15" hidden="false" customHeight="false" outlineLevel="0" collapsed="false">
      <c r="A47" s="0" t="s">
        <v>58</v>
      </c>
      <c r="B47" s="1" t="n">
        <v>46072</v>
      </c>
      <c r="C47" s="0" t="s">
        <v>25</v>
      </c>
      <c r="D47" s="0" t="s">
        <v>11</v>
      </c>
      <c r="E47" s="0" t="n">
        <v>23</v>
      </c>
      <c r="F47" s="2" t="n">
        <v>287.5</v>
      </c>
    </row>
    <row r="48" customFormat="false" ht="15" hidden="false" customHeight="false" outlineLevel="0" collapsed="false">
      <c r="A48" s="0" t="s">
        <v>59</v>
      </c>
      <c r="B48" s="1" t="n">
        <v>46066</v>
      </c>
      <c r="C48" s="0" t="s">
        <v>7</v>
      </c>
      <c r="D48" s="0" t="s">
        <v>8</v>
      </c>
      <c r="E48" s="0" t="n">
        <v>3</v>
      </c>
      <c r="F48" s="2" t="n">
        <v>285</v>
      </c>
    </row>
    <row r="49" customFormat="false" ht="15" hidden="false" customHeight="false" outlineLevel="0" collapsed="false">
      <c r="A49" s="0" t="s">
        <v>60</v>
      </c>
      <c r="B49" s="1" t="n">
        <v>46075</v>
      </c>
      <c r="C49" s="0" t="s">
        <v>10</v>
      </c>
      <c r="D49" s="0" t="s">
        <v>11</v>
      </c>
      <c r="E49" s="0" t="n">
        <v>15</v>
      </c>
      <c r="F49" s="2" t="n">
        <v>187.5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61</v>
      </c>
      <c r="B1" s="0" t="s">
        <v>62</v>
      </c>
      <c r="C1" s="0" t="s">
        <v>63</v>
      </c>
      <c r="D1" s="0" t="s">
        <v>64</v>
      </c>
      <c r="E1" s="0" t="s">
        <v>65</v>
      </c>
    </row>
    <row r="2" customFormat="false" ht="15" hidden="false" customHeight="false" outlineLevel="0" collapsed="false">
      <c r="A2" s="0" t="s">
        <v>7</v>
      </c>
      <c r="B2" s="0" t="n">
        <f aca="false">SUMIFS(Data!F:F,Data!C:C,A2,Data!B:B,"&gt;=2026-01-01",Data!B:B,"&lt;2026-02-01")</f>
        <v>4135</v>
      </c>
      <c r="C2" s="0" t="n">
        <f aca="false">SUMIFS(Data!F:F,Data!C:C,A2,Data!B:B,"&gt;=2026-02-01",Data!B:B,"&lt;2026-03-01")</f>
        <v>2585</v>
      </c>
      <c r="D2" s="0" t="n">
        <f aca="false">SUMIFS(Data!F:F,Data!C:C,A2,Data!B:B,"&gt;=2026-03-01",Data!B:B,"&lt;2026-04-01")</f>
        <v>1332.5</v>
      </c>
      <c r="E2" s="0" t="n">
        <f aca="false">SUM(B2:D2)</f>
        <v>8052.5</v>
      </c>
    </row>
    <row r="3" customFormat="false" ht="15" hidden="false" customHeight="false" outlineLevel="0" collapsed="false">
      <c r="A3" s="0" t="s">
        <v>10</v>
      </c>
      <c r="B3" s="0" t="n">
        <f aca="false">SUMIFS(Data!F:F,Data!C:C,A3,Data!B:B,"&gt;=2026-01-01",Data!B:B,"&lt;2026-02-01")</f>
        <v>2622.5</v>
      </c>
      <c r="C3" s="0" t="n">
        <f aca="false">SUMIFS(Data!F:F,Data!C:C,A3,Data!B:B,"&gt;=2026-02-01",Data!B:B,"&lt;2026-03-01")</f>
        <v>3037.5</v>
      </c>
      <c r="D3" s="0" t="n">
        <f aca="false">SUMIFS(Data!F:F,Data!C:C,A3,Data!B:B,"&gt;=2026-03-01",Data!B:B,"&lt;2026-04-01")</f>
        <v>6510</v>
      </c>
      <c r="E3" s="0" t="n">
        <f aca="false">SUM(B3:D3)</f>
        <v>12170</v>
      </c>
    </row>
    <row r="4" customFormat="false" ht="15" hidden="false" customHeight="false" outlineLevel="0" collapsed="false">
      <c r="A4" s="0" t="s">
        <v>17</v>
      </c>
      <c r="B4" s="0" t="n">
        <f aca="false">SUMIFS(Data!F:F,Data!C:C,A4,Data!B:B,"&gt;=2026-01-01",Data!B:B,"&lt;2026-02-01")</f>
        <v>1200</v>
      </c>
      <c r="C4" s="0" t="n">
        <f aca="false">SUMIFS(Data!F:F,Data!C:C,A4,Data!B:B,"&gt;=2026-02-01",Data!B:B,"&lt;2026-03-01")</f>
        <v>6005</v>
      </c>
      <c r="D4" s="0" t="n">
        <f aca="false">SUMIFS(Data!F:F,Data!C:C,A4,Data!B:B,"&gt;=2026-03-01",Data!B:B,"&lt;2026-04-01")</f>
        <v>4842.5</v>
      </c>
      <c r="E4" s="0" t="n">
        <f aca="false">SUM(B4:D4)</f>
        <v>12047.5</v>
      </c>
    </row>
    <row r="5" customFormat="false" ht="15" hidden="false" customHeight="false" outlineLevel="0" collapsed="false">
      <c r="A5" s="0" t="s">
        <v>25</v>
      </c>
      <c r="B5" s="0" t="n">
        <f aca="false">SUMIFS(Data!F:F,Data!C:C,A5,Data!B:B,"&gt;=2026-01-01",Data!B:B,"&lt;2026-02-01")</f>
        <v>2090</v>
      </c>
      <c r="C5" s="0" t="n">
        <f aca="false">SUMIFS(Data!F:F,Data!C:C,A5,Data!B:B,"&gt;=2026-02-01",Data!B:B,"&lt;2026-03-01")</f>
        <v>2532.5</v>
      </c>
      <c r="D5" s="0" t="n">
        <f aca="false">SUMIFS(Data!F:F,Data!C:C,A5,Data!B:B,"&gt;=2026-03-01",Data!B:B,"&lt;2026-04-01")</f>
        <v>4147.5</v>
      </c>
      <c r="E5" s="0" t="n">
        <f aca="false">SUM(B5:D5)</f>
        <v>8770</v>
      </c>
    </row>
    <row r="6" customFormat="false" ht="15" hidden="false" customHeight="false" outlineLevel="0" collapsed="false">
      <c r="A6" s="0" t="s">
        <v>65</v>
      </c>
      <c r="B6" s="0" t="n">
        <f aca="false">SUM(B2:B5)</f>
        <v>10047.5</v>
      </c>
      <c r="C6" s="0" t="n">
        <f aca="false">SUM(C2:C5)</f>
        <v>14160</v>
      </c>
      <c r="D6" s="0" t="n">
        <f aca="false">SUM(D2:D5)</f>
        <v>16832.5</v>
      </c>
      <c r="E6" s="0" t="n">
        <f aca="false">SUM(E2:E5)</f>
        <v>41040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66</v>
      </c>
    </row>
    <row r="2" customFormat="false" ht="15" hidden="false" customHeight="false" outlineLevel="0" collapsed="false">
      <c r="A2" s="0" t="s">
        <v>67</v>
      </c>
    </row>
    <row r="3" customFormat="false" ht="15" hidden="false" customHeight="false" outlineLevel="0" collapsed="false">
      <c r="A3" s="0" t="s">
        <v>68</v>
      </c>
    </row>
    <row r="4" customFormat="false" ht="15" hidden="false" customHeight="false" outlineLevel="0" collapsed="false">
      <c r="A4" s="0" t="s">
        <v>69</v>
      </c>
    </row>
    <row r="5" customFormat="false" ht="15" hidden="false" customHeight="false" outlineLevel="0" collapsed="false">
      <c r="A5" s="0" t="s">
        <v>70</v>
      </c>
    </row>
    <row r="6" customFormat="false" ht="15" hidden="false" customHeight="false" outlineLevel="0" collapsed="false">
      <c r="A6" s="0" t="s">
        <v>71</v>
      </c>
    </row>
    <row r="7" customFormat="false" ht="15" hidden="false" customHeight="false" outlineLevel="0" collapsed="false">
      <c r="A7" s="0" t="s">
        <v>72</v>
      </c>
    </row>
    <row r="8" customFormat="false" ht="15" hidden="false" customHeight="false" outlineLevel="0" collapsed="false">
      <c r="A8" s="0" t="s">
        <v>73</v>
      </c>
    </row>
    <row r="10" customFormat="false" ht="15" hidden="false" customHeight="false" outlineLevel="0" collapsed="false">
      <c r="A10" s="0" t="s">
        <v>74</v>
      </c>
    </row>
    <row r="11" customFormat="false" ht="15" hidden="false" customHeight="false" outlineLevel="0" collapsed="false">
      <c r="A11" s="0" t="s">
        <v>75</v>
      </c>
    </row>
    <row r="12" customFormat="false" ht="15" hidden="false" customHeight="false" outlineLevel="0" collapsed="false">
      <c r="A12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2026-09-12T03:51:49Z</dcterms:created>
  <dc:creator>openpyxl</dc:creator>
  <dc:description/>
  <dc:language>en-US</dc:language>
  <cp:lastModifiedBy/>
  <dcterms:modified xsi:type="dcterms:W3CDTF">2026-09-12T03:51:49Z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